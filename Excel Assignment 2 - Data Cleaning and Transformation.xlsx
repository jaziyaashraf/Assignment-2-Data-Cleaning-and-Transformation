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8301E3E-3BE6-4F60-9500-576BB36C1A2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Solutions" sheetId="4" r:id="rId3"/>
  </sheets>
  <definedNames>
    <definedName name="ExternalData_1" localSheetId="2" hidden="1">Solutions!$A$1:$H$32</definedName>
  </definedName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7931F4-344D-4B4C-9F84-0F5A3854CD74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<sst xmlns="http://schemas.openxmlformats.org/spreadsheetml/2006/main" count="321" uniqueCount="133">
  <si>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</si>
  <si>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</si>
  <si>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</si>
  <si>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</si>
  <si>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</si>
  <si>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</si>
  <si>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</si>
  <si>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</si>
  <si>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</si>
  <si>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</si>
  <si>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</si>
  <si>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</si>
  <si>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</si>
  <si>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</si>
  <si>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</si>
  <si>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</si>
  <si>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</si>
  <si>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</si>
  <si>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</si>
  <si>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</si>
  <si>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</si>
  <si>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</si>
  <si>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</si>
  <si>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</si>
  <si>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</si>
  <si>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</si>
  <si>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</si>
  <si>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</si>
  <si>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</si>
  <si>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</si>
  <si>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</si>
  <si>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</si>
  <si>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</si>
  <si>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</si>
  <si>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</si>
  <si>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</si>
  <si>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</si>
  <si>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</si>
  <si>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</si>
  <si>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</si>
  <si>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</si>
  <si>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</si>
  <si>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</si>
  <si>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</si>
  <si>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</si>
  <si>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</si>
  <si>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</si>
  <si>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</si>
  <si>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</si>
  <si>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</si>
  <si>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</si>
  <si>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</si>
  <si>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</si>
  <si>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</si>
  <si>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</si>
  <si>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</si>
  <si>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</si>
  <si>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</si>
  <si>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</si>
  <si>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</si>
  <si>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</si>
  <si>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</si>
  <si>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</si>
  <si>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</si>
  <si>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</si>
  <si>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</si>
  <si>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</si>
  <si>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</si>
  <si>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</si>
  <si>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</si>
  <si>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</si>
  <si>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</si>
  <si>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</si>
  <si>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</si>
  <si>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</si>
  <si>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</si>
  <si>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</si>
  <si>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</si>
  <si>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</si>
  <si>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</si>
  <si>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</si>
  <si>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</si>
  <si>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</si>
  <si>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</si>
  <si>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</si>
  <si>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</si>
  <si>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</si>
  <si>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</si>
  <si>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</si>
  <si>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</si>
  <si>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</si>
  <si>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</si>
  <si>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</si>
  <si>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</si>
  <si>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</si>
  <si>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</si>
  <si>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</si>
  <si>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</si>
  <si>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</si>
  <si>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</si>
  <si>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</si>
  <si>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</si>
  <si>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</si>
  <si>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</si>
  <si>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</si>
  <si>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</si>
  <si>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</si>
  <si>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</si>
  <si>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</si>
  <si>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</si>
  <si>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</si>
  <si>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</si>
  <si>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</si>
  <si>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</si>
  <si>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</si>
  <si>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</si>
  <si>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Unknown</t>
  </si>
  <si>
    <t>T-Shirt</t>
  </si>
  <si>
    <t>Manufacturing_date</t>
  </si>
  <si>
    <t>Country_Code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</si>
  <si>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</si>
  <si>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</si>
  <si>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</si>
  <si>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</si>
  <si>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</si>
  <si>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</si>
  <si>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</si>
  <si>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</si>
  <si>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</si>
  <si>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</si>
  <si>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</si>
  <si>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</si>
  <si>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Product_Brand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</si>
</sst>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  <xf numFmtId="164" fontId="0" fillId="0" borderId="0" xfId="0" applyNumberFormat="1"/>
    <xf numFmtId="0" fontId="0" fillId="0" borderId="0" xfId="0" applyFill="1" applyAlignment="1">
      <alignment horizontal="left"/>
    </xf>
    <xf numFmtId="14" fontId="0" fillId="5" borderId="0" xfId="0" applyNumberFormat="1" applyFill="1" applyAlignment="1">
      <alignment horizontal="left"/>
    </xf>
    <xf numFmtId="0" fontId="0" fillId="0" borderId="0" xfId="0" applyFill="1"/>
    <xf numFmtId="0" fontId="0" fillId="4" borderId="0" xfId="0" applyFill="1"/>
    <xf numFmtId="0" fontId="0" fillId="6" borderId="0" xfId="0" applyFill="1"/>
  </cellXfs>
  <cellStyles count="1">
    <cellStyle name="Normal" xfId="0" builtinId="0"/>
  </cellStyles>
  <dxfs count="10">
    <dxf>
      <numFmt numFmtId="0" formatCode="General"/>
      <fill>
        <patternFill patternType="solid">
          <fgColor indexed="64"/>
          <bgColor theme="6" tint="0.59999389629810485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19" formatCode="dd/mm/yyyy"/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font>
        <color theme="4" tint="-0.24994659260841701"/>
      </font>
    </dxf>
    <dxf>
      <font>
        <color rgb="FF006100"/>
      </font>
      <fill>
        <patternFill>
          <bgColor rgb="FFC6EFCE"/>
        </patternFill>
      </fill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306CB2-252C-4AD9-A002-30DAC222CBE1}" autoFormatId="16" applyNumberFormats="0" applyBorderFormats="0" applyFontFormats="0" applyPatternFormats="0" applyAlignmentFormats="0" applyWidthHeightFormats="0">
  <queryTableRefresh nextId="46" unboundColumnsRight="1">
    <queryTableFields count="9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17" name="Updated_Category" tableColumnId="17"/>
      <queryTableField id="20" name="Manufacturing_date" tableColumnId="6"/>
      <queryTableField id="21" name="Country_Code" tableColumnId="18"/>
      <queryTableField id="35" dataBound="0" tableColumnId="7"/>
    </queryTableFields>
    <queryTableDeletedFields count="31">
      <deletedField name="Category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F3553A-9CF3-4529-9363-DA155F12BFBB}" name="Dataset" displayName="Dataset" ref="A1:I32" tableType="queryTable" totalsRowShown="0">
  <autoFilter ref="A1:I32" xr:uid="{D1F3553A-9CF3-4529-9363-DA155F12BFBB}"/>
  <tableColumns count="9">
    <tableColumn id="1" xr3:uid="{5A205439-DC84-4DEC-9344-AD062E3A7B6C}" uniqueName="1" name="Product ID" queryTableFieldId="1" dataDxfId="9"/>
    <tableColumn id="2" xr3:uid="{541CCFA4-66E9-49DA-8FC1-992EFF000857}" uniqueName="2" name="Product Name" queryTableFieldId="2" dataDxfId="8"/>
    <tableColumn id="3" xr3:uid="{6DCCA1BC-2A26-48AE-BAA8-D45ABACECD57}" uniqueName="3" name="Brand Name" queryTableFieldId="3" dataDxfId="7"/>
    <tableColumn id="4" xr3:uid="{0F65251B-4958-4FFA-A907-F1FB6169B422}" uniqueName="4" name="Price ($)" queryTableFieldId="4" dataDxfId="6"/>
    <tableColumn id="5" xr3:uid="{693951CC-87B3-4C01-B9AC-10D8DD74137C}" uniqueName="5" name="Quantity" queryTableFieldId="5"/>
    <tableColumn id="17" xr3:uid="{EBD1ED23-801E-4D92-B658-7DD4987C75A1}" uniqueName="17" name="Category" queryTableFieldId="17" dataDxfId="3"/>
    <tableColumn id="6" xr3:uid="{CA8FFE5A-62CE-4945-A298-27ABA5BEB2D9}" uniqueName="6" name="Manufacturing_date" queryTableFieldId="20" dataDxfId="2"/>
    <tableColumn id="18" xr3:uid="{287FC825-9A06-4EF8-BE66-BA7B9D4BF830}" uniqueName="18" name="Country_Code" queryTableFieldId="21" dataDxfId="1"/>
    <tableColumn id="7" xr3:uid="{D52F46BC-DC9E-4271-8833-0BBC582A3F79}" uniqueName="7" name="Product_Brand" queryTableFieldId="35" dataDxfId="0">
      <calculatedColumnFormula>Dataset[[#This Row],[Brand Name]]&amp;" "&amp;Dataset[[#This Row],[Product Name]]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zoomScale="64" zoomScaleNormal="64" workbookViewId="0">
      <selection activeCell="F8" sqref="F8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zoomScale="66" zoomScaleNormal="66" workbookViewId="0">
      <selection activeCell="H32" sqref="H32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EA8B-C5CA-43FC-86D3-4C72FF697165}">
  <dimension ref="A1:S32"/>
  <sheetViews>
    <sheetView tabSelected="1" topLeftCell="B1" zoomScale="95" zoomScaleNormal="95" workbookViewId="0">
      <selection activeCell="H1842" sqref="H1842"/>
    </sheetView>
  </sheetViews>
  <sheetFormatPr defaultRowHeight="12.5" x14ac:dyDescent="0.25"/>
  <cols>
    <col min="1" max="1" width="12.6328125" bestFit="1" customWidth="1"/>
    <col min="2" max="2" width="15.81640625" bestFit="1" customWidth="1"/>
    <col min="3" max="3" width="14.1796875" bestFit="1" customWidth="1"/>
    <col min="4" max="4" width="10.54296875" bestFit="1" customWidth="1"/>
    <col min="5" max="5" width="10.7265625" bestFit="1" customWidth="1"/>
    <col min="6" max="6" width="19.90625" bestFit="1" customWidth="1"/>
    <col min="7" max="7" width="21.26953125" style="11" bestFit="1" customWidth="1"/>
    <col min="8" max="8" width="16.36328125" style="13" customWidth="1"/>
    <col min="9" max="9" width="22.26953125" style="13" customWidth="1"/>
    <col min="10" max="11" width="11.1796875" style="13" bestFit="1" customWidth="1"/>
    <col min="12" max="18" width="12.26953125" style="13" bestFit="1" customWidth="1"/>
    <col min="19" max="19" width="21.453125" style="13" bestFit="1" customWidth="1"/>
    <col min="20" max="20" width="10.6328125" bestFit="1" customWidth="1"/>
    <col min="21" max="25" width="11.6328125" bestFit="1" customWidth="1"/>
    <col min="26" max="27" width="11.6328125" customWidth="1"/>
    <col min="28" max="28" width="23" bestFit="1" customWidth="1"/>
    <col min="29" max="29" width="11.6328125" customWidth="1"/>
  </cols>
  <sheetData>
    <row r="1" spans="1:9" customFormat="1" x14ac:dyDescent="0.25">
      <c r="A1" t="s">
        <v>19</v>
      </c>
      <c r="B1" t="s">
        <v>20</v>
      </c>
      <c r="C1" t="s">
        <v>21</v>
      </c>
      <c r="D1" s="10" t="s">
        <v>22</v>
      </c>
      <c r="E1" t="s">
        <v>23</v>
      </c>
      <c r="F1" s="9" t="s">
        <v>24</v>
      </c>
      <c r="G1" s="11" t="s">
        <v>118</v>
      </c>
      <c r="H1" s="13" t="s">
        <v>119</v>
      </c>
      <c r="I1" s="13" t="s">
        <v>132</v>
      </c>
    </row>
    <row r="2" spans="1:9" customFormat="1" x14ac:dyDescent="0.25">
      <c r="A2" t="s">
        <v>25</v>
      </c>
      <c r="B2" t="s">
        <v>61</v>
      </c>
      <c r="C2" t="s">
        <v>27</v>
      </c>
      <c r="D2" s="10">
        <v>1000</v>
      </c>
      <c r="E2">
        <v>30</v>
      </c>
      <c r="F2" t="s">
        <v>28</v>
      </c>
      <c r="G2" s="12">
        <v>46050</v>
      </c>
      <c r="H2" s="14" t="s">
        <v>120</v>
      </c>
      <c r="I2" s="15" t="str">
        <f>Dataset[[#This Row],[Brand Name]]&amp;" "&amp;Dataset[[#This Row],[Product Name]]</f>
        <v>Dell Laptop</v>
      </c>
    </row>
    <row r="3" spans="1:9" customFormat="1" x14ac:dyDescent="0.25">
      <c r="A3" t="s">
        <v>29</v>
      </c>
      <c r="B3" t="s">
        <v>30</v>
      </c>
      <c r="C3" t="s">
        <v>31</v>
      </c>
      <c r="D3" s="10">
        <v>80</v>
      </c>
      <c r="E3">
        <v>15</v>
      </c>
      <c r="F3" t="s">
        <v>32</v>
      </c>
      <c r="G3" s="12">
        <v>46068</v>
      </c>
      <c r="H3" s="14" t="s">
        <v>120</v>
      </c>
      <c r="I3" s="15" t="str">
        <f>Dataset[[#This Row],[Brand Name]]&amp;" "&amp;Dataset[[#This Row],[Product Name]]</f>
        <v>Nike Sneakers</v>
      </c>
    </row>
    <row r="4" spans="1:9" customFormat="1" x14ac:dyDescent="0.25">
      <c r="A4" t="s">
        <v>33</v>
      </c>
      <c r="B4" t="s">
        <v>34</v>
      </c>
      <c r="C4" t="s">
        <v>35</v>
      </c>
      <c r="D4" s="10">
        <v>130</v>
      </c>
      <c r="E4">
        <v>40</v>
      </c>
      <c r="F4" t="s">
        <v>36</v>
      </c>
      <c r="G4" s="12">
        <v>46084</v>
      </c>
      <c r="H4" s="14" t="s">
        <v>120</v>
      </c>
      <c r="I4" s="15" t="str">
        <f>Dataset[[#This Row],[Brand Name]]&amp;" "&amp;Dataset[[#This Row],[Product Name]]</f>
        <v>Keurig Coffee Maker</v>
      </c>
    </row>
    <row r="5" spans="1:9" customFormat="1" x14ac:dyDescent="0.25">
      <c r="A5" t="s">
        <v>37</v>
      </c>
      <c r="B5" t="s">
        <v>96</v>
      </c>
      <c r="C5" t="s">
        <v>39</v>
      </c>
      <c r="D5" s="10">
        <v>900</v>
      </c>
      <c r="E5">
        <v>25</v>
      </c>
      <c r="F5" t="s">
        <v>28</v>
      </c>
      <c r="G5" s="12">
        <v>46123</v>
      </c>
      <c r="H5" s="14" t="s">
        <v>120</v>
      </c>
      <c r="I5" s="15" t="str">
        <f>Dataset[[#This Row],[Brand Name]]&amp;" "&amp;Dataset[[#This Row],[Product Name]]</f>
        <v>Samsung Smartphone</v>
      </c>
    </row>
    <row r="6" spans="1:9" customFormat="1" x14ac:dyDescent="0.25">
      <c r="A6" t="s">
        <v>40</v>
      </c>
      <c r="B6" t="s">
        <v>41</v>
      </c>
      <c r="C6" t="s">
        <v>42</v>
      </c>
      <c r="D6" s="10">
        <v>70</v>
      </c>
      <c r="E6">
        <v>20</v>
      </c>
      <c r="F6" t="s">
        <v>116</v>
      </c>
      <c r="G6" s="12">
        <v>46164</v>
      </c>
      <c r="H6" s="14" t="s">
        <v>120</v>
      </c>
      <c r="I6" s="15" t="str">
        <f>Dataset[[#This Row],[Brand Name]]&amp;" "&amp;Dataset[[#This Row],[Product Name]]</f>
        <v>North Face Backpack</v>
      </c>
    </row>
    <row r="7" spans="1:9" customFormat="1" x14ac:dyDescent="0.25">
      <c r="A7" t="s">
        <v>43</v>
      </c>
      <c r="B7" t="s">
        <v>44</v>
      </c>
      <c r="C7" t="s">
        <v>45</v>
      </c>
      <c r="D7" s="10">
        <v>130</v>
      </c>
      <c r="E7">
        <v>45</v>
      </c>
      <c r="F7" t="s">
        <v>28</v>
      </c>
      <c r="G7" s="12">
        <v>46180</v>
      </c>
      <c r="H7" s="14" t="s">
        <v>121</v>
      </c>
      <c r="I7" s="15" t="str">
        <f>Dataset[[#This Row],[Brand Name]]&amp;" "&amp;Dataset[[#This Row],[Product Name]]</f>
        <v>Sony Headphones</v>
      </c>
    </row>
    <row r="8" spans="1:9" customFormat="1" x14ac:dyDescent="0.25">
      <c r="A8" t="s">
        <v>47</v>
      </c>
      <c r="B8" t="s">
        <v>117</v>
      </c>
      <c r="C8" t="s">
        <v>49</v>
      </c>
      <c r="D8" s="10">
        <v>30</v>
      </c>
      <c r="E8">
        <v>5</v>
      </c>
      <c r="F8" t="s">
        <v>32</v>
      </c>
      <c r="G8" s="12">
        <v>46222</v>
      </c>
      <c r="H8" s="14" t="s">
        <v>121</v>
      </c>
      <c r="I8" s="15" t="str">
        <f>Dataset[[#This Row],[Brand Name]]&amp;" "&amp;Dataset[[#This Row],[Product Name]]</f>
        <v>Adidas T-Shirt</v>
      </c>
    </row>
    <row r="9" spans="1:9" customFormat="1" x14ac:dyDescent="0.25">
      <c r="A9" t="s">
        <v>50</v>
      </c>
      <c r="B9" t="s">
        <v>51</v>
      </c>
      <c r="C9" t="s">
        <v>52</v>
      </c>
      <c r="D9" s="10">
        <v>90</v>
      </c>
      <c r="E9">
        <v>35</v>
      </c>
      <c r="F9" t="s">
        <v>36</v>
      </c>
      <c r="G9" s="12">
        <v>46257</v>
      </c>
      <c r="H9" s="14" t="s">
        <v>121</v>
      </c>
      <c r="I9" s="15" t="str">
        <f>Dataset[[#This Row],[Brand Name]]&amp;" "&amp;Dataset[[#This Row],[Product Name]]</f>
        <v>Ninja Blender</v>
      </c>
    </row>
    <row r="10" spans="1:9" customFormat="1" x14ac:dyDescent="0.25">
      <c r="A10" t="s">
        <v>53</v>
      </c>
      <c r="B10" t="s">
        <v>54</v>
      </c>
      <c r="C10" t="s">
        <v>55</v>
      </c>
      <c r="D10" s="10">
        <v>500</v>
      </c>
      <c r="E10">
        <v>50</v>
      </c>
      <c r="F10" t="s">
        <v>28</v>
      </c>
      <c r="G10" s="12">
        <v>46270</v>
      </c>
      <c r="H10" s="14" t="s">
        <v>121</v>
      </c>
      <c r="I10" s="15" t="str">
        <f>Dataset[[#This Row],[Brand Name]]&amp;" "&amp;Dataset[[#This Row],[Product Name]]</f>
        <v>Apple Tablet</v>
      </c>
    </row>
    <row r="11" spans="1:9" customFormat="1" x14ac:dyDescent="0.25">
      <c r="A11" t="s">
        <v>56</v>
      </c>
      <c r="B11" t="s">
        <v>57</v>
      </c>
      <c r="C11" t="s">
        <v>58</v>
      </c>
      <c r="D11" s="10">
        <v>130</v>
      </c>
      <c r="E11">
        <v>10</v>
      </c>
      <c r="F11" t="s">
        <v>59</v>
      </c>
      <c r="G11" s="12">
        <v>46309</v>
      </c>
      <c r="H11" s="14" t="s">
        <v>121</v>
      </c>
      <c r="I11" s="15" t="str">
        <f>Dataset[[#This Row],[Brand Name]]&amp;" "&amp;Dataset[[#This Row],[Product Name]]</f>
        <v>Timberland Hiking Boots</v>
      </c>
    </row>
    <row r="12" spans="1:9" customFormat="1" x14ac:dyDescent="0.25">
      <c r="A12" t="s">
        <v>60</v>
      </c>
      <c r="B12" t="s">
        <v>61</v>
      </c>
      <c r="C12" t="s">
        <v>62</v>
      </c>
      <c r="D12" s="10">
        <v>950</v>
      </c>
      <c r="E12">
        <v>25</v>
      </c>
      <c r="F12" t="s">
        <v>28</v>
      </c>
      <c r="G12" s="12">
        <v>46190</v>
      </c>
      <c r="H12" s="14" t="s">
        <v>122</v>
      </c>
      <c r="I12" s="15" t="str">
        <f>Dataset[[#This Row],[Brand Name]]&amp;" "&amp;Dataset[[#This Row],[Product Name]]</f>
        <v>HP Laptop</v>
      </c>
    </row>
    <row r="13" spans="1:9" customFormat="1" x14ac:dyDescent="0.25">
      <c r="A13" t="s">
        <v>63</v>
      </c>
      <c r="B13" t="s">
        <v>30</v>
      </c>
      <c r="C13" t="s">
        <v>49</v>
      </c>
      <c r="D13" s="10">
        <v>90</v>
      </c>
      <c r="E13">
        <v>40</v>
      </c>
      <c r="F13" t="s">
        <v>116</v>
      </c>
      <c r="G13" s="12">
        <v>46351</v>
      </c>
      <c r="H13" s="14" t="s">
        <v>123</v>
      </c>
      <c r="I13" s="15" t="str">
        <f>Dataset[[#This Row],[Brand Name]]&amp;" "&amp;Dataset[[#This Row],[Product Name]]</f>
        <v>Adidas Sneakers</v>
      </c>
    </row>
    <row r="14" spans="1:9" customFormat="1" x14ac:dyDescent="0.25">
      <c r="A14" t="s">
        <v>64</v>
      </c>
      <c r="B14" t="s">
        <v>34</v>
      </c>
      <c r="C14" t="s">
        <v>65</v>
      </c>
      <c r="D14" s="10">
        <v>120</v>
      </c>
      <c r="E14">
        <v>35</v>
      </c>
      <c r="F14" t="s">
        <v>116</v>
      </c>
      <c r="G14" s="12">
        <v>46364</v>
      </c>
      <c r="H14" s="14" t="s">
        <v>124</v>
      </c>
      <c r="I14" s="15" t="str">
        <f>Dataset[[#This Row],[Brand Name]]&amp;" "&amp;Dataset[[#This Row],[Product Name]]</f>
        <v>Nespresso Coffee Maker</v>
      </c>
    </row>
    <row r="15" spans="1:9" customFormat="1" x14ac:dyDescent="0.25">
      <c r="A15" t="s">
        <v>66</v>
      </c>
      <c r="B15" t="s">
        <v>67</v>
      </c>
      <c r="C15" t="s">
        <v>68</v>
      </c>
      <c r="D15" s="10">
        <v>150</v>
      </c>
      <c r="E15">
        <v>15</v>
      </c>
      <c r="F15" t="s">
        <v>28</v>
      </c>
      <c r="G15" s="12">
        <v>46071</v>
      </c>
      <c r="H15" s="14" t="s">
        <v>125</v>
      </c>
      <c r="I15" s="15" t="str">
        <f>Dataset[[#This Row],[Brand Name]]&amp;" "&amp;Dataset[[#This Row],[Product Name]]</f>
        <v>Fitbit Smartwatch</v>
      </c>
    </row>
    <row r="16" spans="1:9" customFormat="1" x14ac:dyDescent="0.25">
      <c r="A16" t="s">
        <v>69</v>
      </c>
      <c r="B16" t="s">
        <v>44</v>
      </c>
      <c r="C16" t="s">
        <v>71</v>
      </c>
      <c r="D16" s="10">
        <v>250</v>
      </c>
      <c r="E16">
        <v>20</v>
      </c>
      <c r="F16" t="s">
        <v>28</v>
      </c>
      <c r="G16" s="12">
        <v>46128</v>
      </c>
      <c r="H16" s="14" t="s">
        <v>126</v>
      </c>
      <c r="I16" s="15" t="str">
        <f>Dataset[[#This Row],[Brand Name]]&amp;" "&amp;Dataset[[#This Row],[Product Name]]</f>
        <v>Bose Headphones</v>
      </c>
    </row>
    <row r="17" spans="1:19" x14ac:dyDescent="0.25">
      <c r="A17" t="s">
        <v>72</v>
      </c>
      <c r="B17" t="s">
        <v>73</v>
      </c>
      <c r="C17" t="s">
        <v>74</v>
      </c>
      <c r="D17" s="10">
        <v>50</v>
      </c>
      <c r="E17">
        <v>35</v>
      </c>
      <c r="F17" t="s">
        <v>75</v>
      </c>
      <c r="G17" s="12">
        <v>46255</v>
      </c>
      <c r="H17" s="14" t="s">
        <v>125</v>
      </c>
      <c r="I17" s="15" t="str">
        <f>Dataset[[#This Row],[Brand Name]]&amp;" "&amp;Dataset[[#This Row],[Product Name]]</f>
        <v>Samsonite Laptop Bag</v>
      </c>
      <c r="J17"/>
      <c r="K17"/>
      <c r="L17"/>
      <c r="M17"/>
      <c r="N17"/>
      <c r="O17"/>
      <c r="P17"/>
      <c r="Q17"/>
      <c r="R17"/>
      <c r="S17"/>
    </row>
    <row r="18" spans="1:19" x14ac:dyDescent="0.25">
      <c r="A18" t="s">
        <v>76</v>
      </c>
      <c r="B18" t="s">
        <v>67</v>
      </c>
      <c r="C18" t="s">
        <v>77</v>
      </c>
      <c r="D18" s="10">
        <v>160</v>
      </c>
      <c r="E18">
        <v>15</v>
      </c>
      <c r="F18" t="s">
        <v>28</v>
      </c>
      <c r="G18" s="12">
        <v>46254</v>
      </c>
      <c r="H18" s="14" t="s">
        <v>127</v>
      </c>
      <c r="I18" s="15" t="str">
        <f>Dataset[[#This Row],[Brand Name]]&amp;" "&amp;Dataset[[#This Row],[Product Name]]</f>
        <v>Huawei Smartwatch</v>
      </c>
      <c r="J18"/>
      <c r="K18"/>
      <c r="L18"/>
      <c r="M18"/>
      <c r="N18"/>
      <c r="O18"/>
      <c r="P18"/>
      <c r="Q18"/>
      <c r="R18"/>
      <c r="S18"/>
    </row>
    <row r="19" spans="1:19" x14ac:dyDescent="0.25">
      <c r="A19" t="s">
        <v>78</v>
      </c>
      <c r="B19" t="s">
        <v>61</v>
      </c>
      <c r="C19" t="s">
        <v>79</v>
      </c>
      <c r="D19" s="10">
        <v>980</v>
      </c>
      <c r="E19">
        <v>10</v>
      </c>
      <c r="F19" t="s">
        <v>28</v>
      </c>
      <c r="G19" s="12">
        <v>46049</v>
      </c>
      <c r="H19" s="14" t="s">
        <v>128</v>
      </c>
      <c r="I19" s="15" t="str">
        <f>Dataset[[#This Row],[Brand Name]]&amp;" "&amp;Dataset[[#This Row],[Product Name]]</f>
        <v>Asus Laptop</v>
      </c>
      <c r="J19"/>
      <c r="K19"/>
      <c r="L19"/>
      <c r="M19"/>
      <c r="N19"/>
      <c r="O19"/>
      <c r="P19"/>
      <c r="Q19"/>
      <c r="R19"/>
      <c r="S19"/>
    </row>
    <row r="20" spans="1:19" x14ac:dyDescent="0.25">
      <c r="A20" t="s">
        <v>80</v>
      </c>
      <c r="B20" t="s">
        <v>81</v>
      </c>
      <c r="C20" t="s">
        <v>82</v>
      </c>
      <c r="D20" s="10">
        <v>150</v>
      </c>
      <c r="E20">
        <v>15</v>
      </c>
      <c r="F20" t="s">
        <v>32</v>
      </c>
      <c r="G20" s="12">
        <v>46082</v>
      </c>
      <c r="H20" s="14" t="s">
        <v>121</v>
      </c>
      <c r="I20" s="15" t="str">
        <f>Dataset[[#This Row],[Brand Name]]&amp;" "&amp;Dataset[[#This Row],[Product Name]]</f>
        <v>Oakley Sunglasses</v>
      </c>
      <c r="J20"/>
      <c r="K20"/>
      <c r="L20"/>
      <c r="M20"/>
      <c r="N20"/>
      <c r="O20"/>
      <c r="P20"/>
      <c r="Q20"/>
      <c r="R20"/>
      <c r="S20"/>
    </row>
    <row r="21" spans="1:19" x14ac:dyDescent="0.25">
      <c r="A21" t="s">
        <v>83</v>
      </c>
      <c r="B21" t="s">
        <v>84</v>
      </c>
      <c r="C21" t="s">
        <v>85</v>
      </c>
      <c r="D21" s="10">
        <v>130</v>
      </c>
      <c r="E21">
        <v>10</v>
      </c>
      <c r="F21" t="s">
        <v>59</v>
      </c>
      <c r="G21" s="12">
        <v>46248</v>
      </c>
      <c r="H21" s="14" t="s">
        <v>120</v>
      </c>
      <c r="I21" s="15" t="str">
        <f>Dataset[[#This Row],[Brand Name]]&amp;" "&amp;Dataset[[#This Row],[Product Name]]</f>
        <v>Coleman Camping Tent</v>
      </c>
      <c r="J21"/>
      <c r="K21"/>
      <c r="L21"/>
      <c r="M21"/>
      <c r="N21"/>
      <c r="O21"/>
      <c r="P21"/>
      <c r="Q21"/>
      <c r="R21"/>
      <c r="S21"/>
    </row>
    <row r="22" spans="1:19" x14ac:dyDescent="0.25">
      <c r="A22" t="s">
        <v>86</v>
      </c>
      <c r="B22" t="s">
        <v>87</v>
      </c>
      <c r="C22" t="s">
        <v>88</v>
      </c>
      <c r="D22" s="10">
        <v>700</v>
      </c>
      <c r="E22">
        <v>50</v>
      </c>
      <c r="F22" t="s">
        <v>28</v>
      </c>
      <c r="G22" s="12">
        <v>46156</v>
      </c>
      <c r="H22" s="14" t="s">
        <v>129</v>
      </c>
      <c r="I22" s="15" t="str">
        <f>Dataset[[#This Row],[Brand Name]]&amp;" "&amp;Dataset[[#This Row],[Product Name]]</f>
        <v>Nikon Camera</v>
      </c>
      <c r="J22"/>
      <c r="K22"/>
      <c r="L22"/>
      <c r="M22"/>
      <c r="N22"/>
      <c r="O22"/>
      <c r="P22"/>
      <c r="Q22"/>
      <c r="R22"/>
      <c r="S22"/>
    </row>
    <row r="23" spans="1:19" x14ac:dyDescent="0.25">
      <c r="A23" t="s">
        <v>89</v>
      </c>
      <c r="B23" t="s">
        <v>90</v>
      </c>
      <c r="C23" t="s">
        <v>91</v>
      </c>
      <c r="D23" s="10">
        <v>80</v>
      </c>
      <c r="E23">
        <v>20</v>
      </c>
      <c r="F23" t="s">
        <v>36</v>
      </c>
      <c r="G23" s="12">
        <v>46031</v>
      </c>
      <c r="H23" s="14" t="s">
        <v>125</v>
      </c>
      <c r="I23" s="15" t="str">
        <f>Dataset[[#This Row],[Brand Name]]&amp;" "&amp;Dataset[[#This Row],[Product Name]]</f>
        <v>Panasonic Microwave</v>
      </c>
      <c r="J23"/>
      <c r="K23"/>
      <c r="L23"/>
      <c r="M23"/>
      <c r="N23"/>
      <c r="O23"/>
      <c r="P23"/>
      <c r="Q23"/>
      <c r="R23"/>
      <c r="S23"/>
    </row>
    <row r="24" spans="1:19" x14ac:dyDescent="0.25">
      <c r="A24" t="s">
        <v>92</v>
      </c>
      <c r="B24" t="s">
        <v>93</v>
      </c>
      <c r="C24" t="s">
        <v>94</v>
      </c>
      <c r="D24" s="10">
        <v>150</v>
      </c>
      <c r="E24">
        <v>30</v>
      </c>
      <c r="F24" t="s">
        <v>116</v>
      </c>
      <c r="G24" s="12">
        <v>46222</v>
      </c>
      <c r="H24" s="14" t="s">
        <v>130</v>
      </c>
      <c r="I24" s="15" t="str">
        <f>Dataset[[#This Row],[Brand Name]]&amp;" "&amp;Dataset[[#This Row],[Product Name]]</f>
        <v>Xiaomi Fitness Tracker</v>
      </c>
      <c r="J24"/>
      <c r="K24"/>
      <c r="L24"/>
      <c r="M24"/>
      <c r="N24"/>
      <c r="O24"/>
      <c r="P24"/>
      <c r="Q24"/>
      <c r="R24"/>
      <c r="S24"/>
    </row>
    <row r="25" spans="1:19" x14ac:dyDescent="0.25">
      <c r="A25" t="s">
        <v>95</v>
      </c>
      <c r="B25" t="s">
        <v>96</v>
      </c>
      <c r="C25" t="s">
        <v>97</v>
      </c>
      <c r="D25" s="10">
        <v>800</v>
      </c>
      <c r="E25">
        <v>45</v>
      </c>
      <c r="F25" t="s">
        <v>28</v>
      </c>
      <c r="G25" s="12">
        <v>46294</v>
      </c>
      <c r="H25" s="14" t="s">
        <v>125</v>
      </c>
      <c r="I25" s="15" t="str">
        <f>Dataset[[#This Row],[Brand Name]]&amp;" "&amp;Dataset[[#This Row],[Product Name]]</f>
        <v>Google Smartphone</v>
      </c>
      <c r="J25"/>
      <c r="K25"/>
      <c r="L25"/>
      <c r="M25"/>
      <c r="N25"/>
      <c r="O25"/>
      <c r="P25"/>
      <c r="Q25"/>
      <c r="R25"/>
      <c r="S25"/>
    </row>
    <row r="26" spans="1:19" x14ac:dyDescent="0.25">
      <c r="A26" t="s">
        <v>98</v>
      </c>
      <c r="B26" t="s">
        <v>81</v>
      </c>
      <c r="C26" t="s">
        <v>99</v>
      </c>
      <c r="D26" s="10">
        <v>130</v>
      </c>
      <c r="E26">
        <v>25</v>
      </c>
      <c r="F26" t="s">
        <v>32</v>
      </c>
      <c r="G26" s="12">
        <v>46176</v>
      </c>
      <c r="H26" s="14" t="s">
        <v>125</v>
      </c>
      <c r="I26" s="15" t="str">
        <f>Dataset[[#This Row],[Brand Name]]&amp;" "&amp;Dataset[[#This Row],[Product Name]]</f>
        <v>Ray-Ban Sunglasses</v>
      </c>
      <c r="J26"/>
      <c r="K26"/>
      <c r="L26"/>
      <c r="M26"/>
      <c r="N26"/>
      <c r="O26"/>
      <c r="P26"/>
      <c r="Q26"/>
      <c r="R26"/>
      <c r="S26"/>
    </row>
    <row r="27" spans="1:19" x14ac:dyDescent="0.25">
      <c r="A27" t="s">
        <v>100</v>
      </c>
      <c r="B27" t="s">
        <v>51</v>
      </c>
      <c r="C27" t="s">
        <v>101</v>
      </c>
      <c r="D27" s="10">
        <v>400</v>
      </c>
      <c r="E27">
        <v>40</v>
      </c>
      <c r="F27" t="s">
        <v>36</v>
      </c>
      <c r="G27" s="12">
        <v>46214</v>
      </c>
      <c r="H27" s="14" t="s">
        <v>125</v>
      </c>
      <c r="I27" s="15" t="str">
        <f>Dataset[[#This Row],[Brand Name]]&amp;" "&amp;Dataset[[#This Row],[Product Name]]</f>
        <v>Vitamix Blender</v>
      </c>
      <c r="J27"/>
      <c r="K27"/>
      <c r="L27"/>
      <c r="M27"/>
      <c r="N27"/>
      <c r="O27"/>
      <c r="P27"/>
      <c r="Q27"/>
      <c r="R27"/>
      <c r="S27"/>
    </row>
    <row r="28" spans="1:19" x14ac:dyDescent="0.25">
      <c r="A28" t="s">
        <v>102</v>
      </c>
      <c r="B28" t="s">
        <v>103</v>
      </c>
      <c r="C28" t="s">
        <v>104</v>
      </c>
      <c r="D28" s="10">
        <v>60</v>
      </c>
      <c r="E28">
        <v>30</v>
      </c>
      <c r="F28" t="s">
        <v>32</v>
      </c>
      <c r="G28" s="12">
        <v>46088</v>
      </c>
      <c r="H28" s="14" t="s">
        <v>125</v>
      </c>
      <c r="I28" s="15" t="str">
        <f>Dataset[[#This Row],[Brand Name]]&amp;" "&amp;Dataset[[#This Row],[Product Name]]</f>
        <v>Zara Dress</v>
      </c>
      <c r="J28"/>
      <c r="K28"/>
      <c r="L28"/>
      <c r="M28"/>
      <c r="N28"/>
      <c r="O28"/>
      <c r="P28"/>
      <c r="Q28"/>
      <c r="R28"/>
      <c r="S28"/>
    </row>
    <row r="29" spans="1:19" x14ac:dyDescent="0.25">
      <c r="A29" t="s">
        <v>105</v>
      </c>
      <c r="B29" t="s">
        <v>106</v>
      </c>
      <c r="C29" t="s">
        <v>107</v>
      </c>
      <c r="D29" s="10">
        <v>40</v>
      </c>
      <c r="E29">
        <v>10</v>
      </c>
      <c r="F29" t="s">
        <v>36</v>
      </c>
      <c r="G29" s="12">
        <v>46125</v>
      </c>
      <c r="H29" s="14" t="s">
        <v>125</v>
      </c>
      <c r="I29" s="15" t="str">
        <f>Dataset[[#This Row],[Brand Name]]&amp;" "&amp;Dataset[[#This Row],[Product Name]]</f>
        <v>Hamilton Toaster</v>
      </c>
      <c r="J29"/>
      <c r="K29"/>
      <c r="L29"/>
      <c r="M29"/>
      <c r="N29"/>
      <c r="O29"/>
      <c r="P29"/>
      <c r="Q29"/>
      <c r="R29"/>
      <c r="S29"/>
    </row>
    <row r="30" spans="1:19" x14ac:dyDescent="0.25">
      <c r="A30" t="s">
        <v>108</v>
      </c>
      <c r="B30" t="s">
        <v>93</v>
      </c>
      <c r="C30" t="s">
        <v>109</v>
      </c>
      <c r="D30" s="10">
        <v>130</v>
      </c>
      <c r="E30">
        <v>5</v>
      </c>
      <c r="F30" t="s">
        <v>28</v>
      </c>
      <c r="G30" s="12">
        <v>46166</v>
      </c>
      <c r="H30" s="14" t="s">
        <v>125</v>
      </c>
      <c r="I30" s="15" t="str">
        <f>Dataset[[#This Row],[Brand Name]]&amp;" "&amp;Dataset[[#This Row],[Product Name]]</f>
        <v>Garmin Fitness Tracker</v>
      </c>
      <c r="J30"/>
      <c r="K30"/>
      <c r="L30"/>
      <c r="M30"/>
      <c r="N30"/>
      <c r="O30"/>
      <c r="P30"/>
      <c r="Q30"/>
      <c r="R30"/>
      <c r="S30"/>
    </row>
    <row r="31" spans="1:19" x14ac:dyDescent="0.25">
      <c r="A31" t="s">
        <v>110</v>
      </c>
      <c r="B31" t="s">
        <v>111</v>
      </c>
      <c r="C31" t="s">
        <v>112</v>
      </c>
      <c r="D31" s="10">
        <v>50</v>
      </c>
      <c r="E31">
        <v>50</v>
      </c>
      <c r="F31" t="s">
        <v>32</v>
      </c>
      <c r="G31" s="12">
        <v>46358</v>
      </c>
      <c r="H31" s="14" t="s">
        <v>125</v>
      </c>
      <c r="I31" s="15" t="str">
        <f>Dataset[[#This Row],[Brand Name]]&amp;" "&amp;Dataset[[#This Row],[Product Name]]</f>
        <v>Levi's Jeans</v>
      </c>
    </row>
    <row r="32" spans="1:19" x14ac:dyDescent="0.25">
      <c r="A32" t="s">
        <v>113</v>
      </c>
      <c r="B32" t="s">
        <v>114</v>
      </c>
      <c r="C32" t="s">
        <v>115</v>
      </c>
      <c r="D32" s="10">
        <v>100</v>
      </c>
      <c r="E32">
        <v>20</v>
      </c>
      <c r="F32" t="s">
        <v>75</v>
      </c>
      <c r="G32" s="12">
        <v>46212</v>
      </c>
      <c r="H32" s="14" t="s">
        <v>131</v>
      </c>
      <c r="I32" s="15" t="str">
        <f>Dataset[[#This Row],[Brand Name]]&amp;" "&amp;Dataset[[#This Row],[Product Name]]</f>
        <v>Casio Watch</v>
      </c>
    </row>
  </sheetData>
  <phoneticPr fontId="8" type="noConversion"/>
  <conditionalFormatting sqref="D1:D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{20B740AC-247A-4C12-A4E5-65E27C95983F}</x14:id>
        </ext>
      </extLst>
    </cfRule>
  </conditionalFormatting>
  <conditionalFormatting sqref="F1:F1048576">
    <cfRule type="cellIs" dxfId="5" priority="1" operator="equal">
      <formula>"Electronics"</formula>
    </cfRule>
    <cfRule type="cellIs" dxfId="4" priority="2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B740AC-247A-4C12-A4E5-65E27C95983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5DDB69-BC4D-4149-BE30-6C0074321C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jaziya ashraf</cp:lastModifiedBy>
  <dcterms:modified xsi:type="dcterms:W3CDTF">2026-10-05T14:18:03Z</dcterms:modified>
</cp:coreProperties>
</file>